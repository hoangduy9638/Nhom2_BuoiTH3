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thực hành\buoi3\"/>
    </mc:Choice>
  </mc:AlternateContent>
  <xr:revisionPtr revIDLastSave="0" documentId="13_ncr:1_{6EAF450F-F809-4AFA-A64B-C35CF6143775}" xr6:coauthVersionLast="47" xr6:coauthVersionMax="47" xr10:uidLastSave="{00000000-0000-0000-0000-000000000000}"/>
  <bookViews>
    <workbookView xWindow="-108" yWindow="-108" windowWidth="23256" windowHeight="12456" firstSheet="4" activeTab="6" xr2:uid="{19C79E65-EF2D-4C47-A4F0-EE4F6E2EA151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Tham chiếu &amp; thống kê" sheetId="5" r:id="rId5"/>
    <sheet name="Sinh viên điểm &gt;=7" sheetId="8" r:id="rId6"/>
    <sheet name="Sinh viên điểm &lt;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8" l="1" a="1"/>
  <c r="D3" i="8" s="1"/>
  <c r="C3" i="8" a="1"/>
  <c r="C3" i="8" s="1"/>
  <c r="B3" i="8" a="1"/>
  <c r="B3" i="8" s="1"/>
  <c r="D3" i="7" a="1"/>
  <c r="D3" i="7" s="1"/>
  <c r="C3" i="7" a="1"/>
  <c r="C3" i="7" s="1"/>
  <c r="B3" i="7" a="1"/>
  <c r="B3" i="7" s="1"/>
  <c r="J7" i="1"/>
  <c r="F27" i="5" a="1"/>
  <c r="F27" i="5" s="1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I19" i="1" s="1"/>
  <c r="H20" i="1"/>
  <c r="I20" i="1" s="1"/>
  <c r="H7" i="1"/>
  <c r="G8" i="1"/>
  <c r="G9" i="1"/>
  <c r="G10" i="1"/>
  <c r="G11" i="1"/>
  <c r="G12" i="1"/>
  <c r="G13" i="1"/>
  <c r="G14" i="1"/>
  <c r="J14" i="1" s="1"/>
  <c r="K14" i="1" s="1"/>
  <c r="G15" i="1"/>
  <c r="G16" i="1"/>
  <c r="G17" i="1"/>
  <c r="G18" i="1"/>
  <c r="G19" i="1"/>
  <c r="J19" i="1" s="1"/>
  <c r="K19" i="1" s="1"/>
  <c r="G20" i="1"/>
  <c r="G7" i="1"/>
  <c r="J20" i="1"/>
  <c r="K20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7" i="1"/>
  <c r="E8" i="1"/>
  <c r="E9" i="1"/>
  <c r="I9" i="1" s="1"/>
  <c r="E10" i="1"/>
  <c r="E11" i="1"/>
  <c r="E12" i="1"/>
  <c r="E13" i="1"/>
  <c r="E14" i="1"/>
  <c r="E15" i="1"/>
  <c r="E16" i="1"/>
  <c r="E17" i="1"/>
  <c r="E18" i="1"/>
  <c r="E19" i="1"/>
  <c r="E20" i="1"/>
  <c r="E7" i="1"/>
  <c r="D7" i="1"/>
  <c r="D8" i="1"/>
  <c r="I8" i="1" s="1"/>
  <c r="D9" i="1"/>
  <c r="D10" i="1"/>
  <c r="D11" i="1"/>
  <c r="D12" i="1"/>
  <c r="D13" i="1"/>
  <c r="D14" i="1"/>
  <c r="D15" i="1"/>
  <c r="I15" i="1" s="1"/>
  <c r="D16" i="1"/>
  <c r="I16" i="1" s="1"/>
  <c r="D17" i="1"/>
  <c r="D18" i="1"/>
  <c r="D19" i="1"/>
  <c r="D20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7" i="1"/>
  <c r="J17" i="1"/>
  <c r="K17" i="1" s="1"/>
  <c r="F24" i="5" l="1"/>
  <c r="I7" i="1"/>
  <c r="I13" i="1"/>
  <c r="I12" i="1"/>
  <c r="J12" i="1" s="1"/>
  <c r="K12" i="1" s="1"/>
  <c r="I14" i="1"/>
  <c r="I11" i="1"/>
  <c r="J11" i="1" s="1"/>
  <c r="K11" i="1" s="1"/>
  <c r="I18" i="1"/>
  <c r="J18" i="1" s="1"/>
  <c r="K18" i="1" s="1"/>
  <c r="I10" i="1"/>
  <c r="J10" i="1" s="1"/>
  <c r="K10" i="1" s="1"/>
  <c r="J16" i="1"/>
  <c r="K16" i="1" s="1"/>
  <c r="J9" i="1"/>
  <c r="K9" i="1" s="1"/>
  <c r="J8" i="1"/>
  <c r="K8" i="1" s="1"/>
  <c r="J15" i="1"/>
  <c r="K15" i="1" s="1"/>
  <c r="J13" i="1"/>
  <c r="K13" i="1" s="1"/>
  <c r="F28" i="5" l="1"/>
  <c r="K7" i="1"/>
  <c r="H25" i="5" s="1"/>
  <c r="F14" i="5"/>
  <c r="F20" i="5"/>
  <c r="F18" i="5"/>
  <c r="F19" i="5"/>
  <c r="F16" i="5"/>
  <c r="F21" i="5"/>
  <c r="F17" i="5"/>
  <c r="F1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<sst xmlns="http://schemas.openxmlformats.org/spreadsheetml/2006/main" count="209" uniqueCount="79">
  <si>
    <t>STT</t>
  </si>
  <si>
    <t>S
T
T</t>
  </si>
  <si>
    <t>Mã SV</t>
  </si>
  <si>
    <t>Họ và Tên</t>
  </si>
  <si>
    <t>Điểm TH 1</t>
  </si>
  <si>
    <t>Điểm TH 2</t>
  </si>
  <si>
    <t>Điểm TH 3</t>
  </si>
  <si>
    <t>Điểm BT lớn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</si>
  <si>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</si>
  <si>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</si>
  <si>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</si>
  <si>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</si>
  <si>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</si>
  <si>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</si>
  <si>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</si>
  <si>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</si>
  <si>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</si>
  <si>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</si>
  <si>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</si>
  <si>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</si>
  <si>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</si>
  <si>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</si>
  <si>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</si>
  <si>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</si>
  <si>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ĐIỂM THI HK1-2018-2019(CT428)</t>
  </si>
  <si>
    <t>Ma CB</t>
  </si>
  <si>
    <t>Ma NH</t>
  </si>
  <si>
    <t>Nam hoc</t>
  </si>
  <si>
    <t>CT428</t>
  </si>
  <si>
    <t>2020-2021</t>
  </si>
  <si>
    <t>Ho va ten</t>
  </si>
  <si>
    <t>Hoc ky</t>
  </si>
  <si>
    <t>Nguyen Minh Trung</t>
  </si>
  <si>
    <t>Điểm thực hành các buổi</t>
  </si>
  <si>
    <t>Họ và tên</t>
  </si>
  <si>
    <t>Nguyễn Văn Hiếu</t>
  </si>
  <si>
    <t>Lý Minh Trí</t>
  </si>
  <si>
    <t>Nguyễn Kiều Mi</t>
  </si>
  <si>
    <t>Đặng Duy Linh</t>
  </si>
  <si>
    <t xml:space="preserve">Phạm Thị Huỳnh </t>
  </si>
  <si>
    <t>Lê Minh Thông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</si>
  <si>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</si>
  <si>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</si>
  <si>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</si>
  <si>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</si>
  <si>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</si>
  <si>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</si>
  <si>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Khanh</t>
  </si>
  <si>
    <t>Lê Thị Trúc Linh</t>
  </si>
  <si>
    <t>Điểm BL lớn</t>
  </si>
  <si>
    <t>Điểm lý thuyết</t>
  </si>
  <si>
    <t>Điểm theo thang điểm 4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</si>
  <si>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</si>
  <si>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</si>
  <si>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</si>
  <si>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</si>
  <si>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</si>
  <si>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</si>
  <si>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</si>
  <si>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</si>
  <si>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</si>
  <si>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</si>
  <si>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</si>
  <si>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Điểm CT</t>
  </si>
  <si>
    <t>Danh sách Sinh viên</t>
  </si>
  <si>
    <t>Bảng thống kê SV</t>
  </si>
  <si>
    <t>Số sinh viên điểm BT lớn =0 hoặc điểm LT =-3</t>
  </si>
  <si>
    <t>Bảng thống kê theo điểm chữ</t>
  </si>
  <si>
    <t>số lượng sinh viên</t>
  </si>
  <si>
    <t xml:space="preserve">C </t>
  </si>
  <si>
    <t xml:space="preserve">D </t>
  </si>
  <si>
    <t>Số SV nghỉ TH &gt;2</t>
  </si>
  <si>
    <t>Điểm LT</t>
  </si>
  <si>
    <t>Sinh viên có điểm theo thang điểm 10&gt;7 và có điểm chữ là B+ hoặc A</t>
  </si>
  <si>
    <t>0B1609773</t>
  </si>
  <si>
    <t>so sinh vien</t>
  </si>
  <si>
    <t>Mã sinh viên</t>
  </si>
  <si>
    <t>Điểm theo chữ</t>
  </si>
  <si>
    <t>SINH VIÊN CÓ ĐIỂM BẰNG CHỮ &lt;7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</si>
</sst>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8"/>
      <name val="Aptos Narrow"/>
      <family val="2"/>
      <scheme val="minor"/>
    </font>
    <font>
      <b/>
      <sz val="13"/>
      <color theme="1"/>
      <name val="Times New Roman"/>
      <family val="1"/>
    </font>
    <font>
      <b/>
      <sz val="13"/>
      <color theme="3" tint="0.249977111117893"/>
      <name val="Times New Roman"/>
      <family val="1"/>
    </font>
    <font>
      <b/>
      <sz val="13"/>
      <color theme="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5" borderId="0" xfId="0" applyFont="1" applyFill="1" applyAlignment="1">
      <alignment horizontal="center"/>
    </xf>
    <xf numFmtId="0" fontId="1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1" xfId="0" applyFont="1" applyFill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Bảng thống kê theo điểm chữ số lượng sinh viên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'Tham chiếu &amp; thống kê'!$F$12:$F$13</c:f>
              <c:strCache>
                <c:ptCount val="2"/>
                <c:pt idx="0">
                  <c:v>Bảng thống kê theo điểm chữ</c:v>
                </c:pt>
                <c:pt idx="1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9EA-4C52-AA61-147B050B64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9EA-4C52-AA61-147B050B64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9EA-4C52-AA61-147B050B64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9EA-4C52-AA61-147B050B64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9EA-4C52-AA61-147B050B64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9EA-4C52-AA61-147B050B64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9EA-4C52-AA61-147B050B64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9EA-4C52-AA61-147B050B64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 </c:v>
                </c:pt>
                <c:pt idx="5">
                  <c:v>D+</c:v>
                </c:pt>
                <c:pt idx="6">
                  <c:v>D </c:v>
                </c:pt>
                <c:pt idx="7">
                  <c:v>F</c:v>
                </c:pt>
              </c:strCache>
            </c:strRef>
          </c:cat>
          <c:val>
            <c:numRef>
              <c:f>'Tham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D-417D-A526-46905606659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7696267236471104"/>
          <c:y val="0.1325237186478225"/>
          <c:w val="7.7220893359010806E-2"/>
          <c:h val="0.76610407220256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586947</xdr:colOff>
      <xdr:row>1</xdr:row>
      <xdr:rowOff>51487</xdr:rowOff>
    </xdr:from>
    <xdr:to>
      <xdr:col>12</xdr:col>
      <xdr:colOff>906162</xdr:colOff>
      <xdr:row>22</xdr:row>
      <xdr:rowOff>164756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6FAFC-BFDC-6DD5-9F69-BC1F5B83E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94B3-E731-45C6-A04F-71A6094F8511}">
  <sheetPr codeName="Sheet1"/>
  <dimension ref="A1:K20"/>
  <sheetViews>
    <sheetView topLeftCell="A5" zoomScale="86" zoomScaleNormal="130" workbookViewId="0">
      <selection activeCell="C17" sqref="C17"/>
    </sheetView>
  </sheetViews>
  <sheetFormatPr defaultRowHeight="16.8" x14ac:dyDescent="0.3"/>
  <cols>
    <col min="1" max="1" width="6" style="1" customWidth="1"/>
    <col min="2" max="2" width="12.5546875" style="1" customWidth="1"/>
    <col min="3" max="3" width="22.77734375" style="1" customWidth="1"/>
    <col min="4" max="4" width="6.109375" style="1" customWidth="1"/>
    <col min="5" max="6" width="6.109375" style="2" customWidth="1"/>
    <col min="7" max="8" width="6.21875" style="2" customWidth="1"/>
    <col min="9" max="9" width="12" style="1" customWidth="1"/>
    <col min="10" max="10" width="7" style="1" customWidth="1"/>
    <col min="11" max="11" width="6.44140625" style="1" customWidth="1"/>
    <col min="12" max="16384" width="8.88671875" style="1"/>
  </cols>
  <sheetData>
    <row r="1" spans="1:11" x14ac:dyDescent="0.3">
      <c r="A1" s="3"/>
      <c r="B1" s="14" t="s">
        <v>24</v>
      </c>
      <c r="C1" s="14"/>
      <c r="D1" s="14"/>
      <c r="E1" s="14"/>
      <c r="F1" s="14"/>
      <c r="G1" s="14"/>
      <c r="H1" s="4"/>
      <c r="I1" s="3"/>
      <c r="J1" s="3"/>
      <c r="K1" s="3"/>
    </row>
    <row r="2" spans="1:11" ht="18.600000000000001" customHeight="1" x14ac:dyDescent="0.3">
      <c r="A2" s="3"/>
      <c r="B2" s="3" t="s">
        <v>25</v>
      </c>
      <c r="C2" s="5">
        <v>1043</v>
      </c>
      <c r="D2" s="15" t="s">
        <v>30</v>
      </c>
      <c r="E2" s="15"/>
      <c r="F2" s="16" t="s">
        <v>32</v>
      </c>
      <c r="G2" s="16"/>
      <c r="H2" s="16"/>
      <c r="I2" s="16"/>
      <c r="J2" s="3"/>
      <c r="K2" s="3"/>
    </row>
    <row r="3" spans="1:11" x14ac:dyDescent="0.3">
      <c r="A3" s="3"/>
      <c r="B3" s="3" t="s">
        <v>26</v>
      </c>
      <c r="C3" s="5" t="s">
        <v>28</v>
      </c>
      <c r="D3" s="15" t="s">
        <v>26</v>
      </c>
      <c r="E3" s="15"/>
      <c r="F3" s="16">
        <v>8</v>
      </c>
      <c r="G3" s="16"/>
      <c r="H3" s="6"/>
      <c r="I3" s="3"/>
      <c r="J3" s="3"/>
      <c r="K3" s="3"/>
    </row>
    <row r="4" spans="1:11" x14ac:dyDescent="0.3">
      <c r="A4" s="3"/>
      <c r="B4" s="3" t="s">
        <v>27</v>
      </c>
      <c r="C4" s="5" t="s">
        <v>29</v>
      </c>
      <c r="D4" s="15" t="s">
        <v>31</v>
      </c>
      <c r="E4" s="15"/>
      <c r="F4" s="16">
        <v>1</v>
      </c>
      <c r="G4" s="16"/>
      <c r="H4" s="6"/>
      <c r="I4" s="3"/>
      <c r="J4" s="3"/>
      <c r="K4" s="3"/>
    </row>
    <row r="5" spans="1:11" x14ac:dyDescent="0.3">
      <c r="A5" s="3"/>
      <c r="B5" s="3"/>
      <c r="C5" s="3"/>
      <c r="D5" s="3"/>
      <c r="E5" s="7"/>
      <c r="F5" s="7"/>
      <c r="G5" s="7"/>
      <c r="H5" s="7"/>
      <c r="I5" s="3"/>
      <c r="J5" s="3"/>
      <c r="K5" s="3"/>
    </row>
    <row r="6" spans="1:11" ht="84" x14ac:dyDescent="0.3">
      <c r="A6" s="8" t="s">
        <v>1</v>
      </c>
      <c r="B6" s="9" t="s">
        <v>2</v>
      </c>
      <c r="C6" s="9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72</v>
      </c>
      <c r="I6" s="8" t="s">
        <v>8</v>
      </c>
      <c r="J6" s="8" t="s">
        <v>9</v>
      </c>
      <c r="K6" s="8" t="s">
        <v>10</v>
      </c>
    </row>
    <row r="7" spans="1:11" x14ac:dyDescent="0.3">
      <c r="A7" s="3">
        <v>1</v>
      </c>
      <c r="B7" s="3" t="s">
        <v>11</v>
      </c>
      <c r="C7" s="3" t="str">
        <f>VLOOKUP(B7,'Tham chiếu &amp; thống kê'!B14:C27,2,FALSE)</f>
        <v>Nguyễn Văn Hiếu</v>
      </c>
      <c r="D7" s="3">
        <f>VLOOKUP(B7,'Điểm thực hành các buổi'!$B$3:$F$16,3,FALSE)</f>
        <v>0.45</v>
      </c>
      <c r="E7" s="3">
        <f>VLOOKUP(B7,'Điểm thực hành các buổi'!$B$3:$F$16,4,FALSE)</f>
        <v>0.25</v>
      </c>
      <c r="F7" s="3">
        <f>VLOOKUP(B7,'Điểm thực hành các buổi'!$B$3:$F$16,5,FALSE)</f>
        <v>0.3</v>
      </c>
      <c r="G7" s="3">
        <f>VLOOKUP(B7,'Điểm bài tập lớn'!$B$3:$D$16,3,FALSE)</f>
        <v>0.5</v>
      </c>
      <c r="H7" s="3">
        <f>VLOOKUP(B7,'Điểm lý thuyết'!$B$3:$D$16,3,FALSE)</f>
        <v>4.2</v>
      </c>
      <c r="I7" s="3">
        <f>IF(H7=-3,0,SUM(D7:G7)+0.6*H7)</f>
        <v>4.0199999999999996</v>
      </c>
      <c r="J7" s="3">
        <f>IF(OR(G7=0,VALUE(LEFT(B7,1))&gt;2),0,I7+VLOOKUP(VALUE(LEFT(B7,1)),'Tham chiếu &amp; thống kê'!$E$3:$F$5,2,FALSE))</f>
        <v>5.0199999999999996</v>
      </c>
      <c r="K7" s="3" t="str">
        <f>VLOOKUP(J7,'Tham chiếu &amp; thống kê'!$A$3:$B$10,2,TRUE)</f>
        <v>D+</v>
      </c>
    </row>
    <row r="8" spans="1:11" x14ac:dyDescent="0.3">
      <c r="A8" s="3">
        <v>2</v>
      </c>
      <c r="B8" s="3" t="s">
        <v>12</v>
      </c>
      <c r="C8" s="3" t="str">
        <f>VLOOKUP(B8,'Tham chiếu &amp; thống kê'!B15:C28,2,FALSE)</f>
        <v>Lý Minh Trí</v>
      </c>
      <c r="D8" s="3">
        <f>VLOOKUP(B8,'Điểm thực hành các buổi'!$B$3:$F$16,3,FALSE)</f>
        <v>0.5</v>
      </c>
      <c r="E8" s="3">
        <f>VLOOKUP(B8,'Điểm thực hành các buổi'!$B$3:$F$16,4,FALSE)</f>
        <v>0.35</v>
      </c>
      <c r="F8" s="3">
        <f>VLOOKUP(B8,'Điểm thực hành các buổi'!$B$3:$F$16,5,FALSE)</f>
        <v>0.4</v>
      </c>
      <c r="G8" s="3">
        <f>VLOOKUP(B8,'Điểm bài tập lớn'!$B$3:$D$16,3,FALSE)</f>
        <v>1</v>
      </c>
      <c r="H8" s="3">
        <f>VLOOKUP(B8,'Điểm lý thuyết'!$B$3:$D$16,3,FALSE)</f>
        <v>5.8</v>
      </c>
      <c r="I8" s="3">
        <f t="shared" ref="I8:I20" si="0">IF(H8=-3,0,SUM(D8:G8)+0.6*H8)</f>
        <v>5.73</v>
      </c>
      <c r="J8" s="3">
        <f>IF(OR(G8=0,VALUE(LEFT(B8,1))&gt;2),0,I8+VLOOKUP(VALUE(LEFT(B8,1)),'Tham chiếu &amp; thống kê'!$E$3:$F$5,2,FALSE))</f>
        <v>6.23</v>
      </c>
      <c r="K8" s="3" t="str">
        <f>VLOOKUP(J8,'Tham chiếu &amp; thống kê'!$A$3:$B$10,2,TRUE)</f>
        <v>C</v>
      </c>
    </row>
    <row r="9" spans="1:11" x14ac:dyDescent="0.3">
      <c r="A9" s="3">
        <v>3</v>
      </c>
      <c r="B9" s="3" t="s">
        <v>13</v>
      </c>
      <c r="C9" s="3" t="str">
        <f>VLOOKUP(B9,'Tham chiếu &amp; thống kê'!B16:C29,2,FALSE)</f>
        <v>Nguyễn Kiều Mi</v>
      </c>
      <c r="D9" s="3">
        <f>VLOOKUP(B9,'Điểm thực hành các buổi'!$B$3:$F$16,3,FALSE)</f>
        <v>0.25</v>
      </c>
      <c r="E9" s="3">
        <f>VLOOKUP(B9,'Điểm thực hành các buổi'!$B$3:$F$16,4,FALSE)</f>
        <v>0.25</v>
      </c>
      <c r="F9" s="3">
        <f>VLOOKUP(B9,'Điểm thực hành các buổi'!$B$3:$F$16,5,FALSE)</f>
        <v>0.3</v>
      </c>
      <c r="G9" s="3">
        <f>VLOOKUP(B9,'Điểm bài tập lớn'!$B$3:$D$16,3,FALSE)</f>
        <v>0.5</v>
      </c>
      <c r="H9" s="3">
        <f>VLOOKUP(B9,'Điểm lý thuyết'!$B$3:$D$16,3,FALSE)</f>
        <v>5.8</v>
      </c>
      <c r="I9" s="3">
        <f t="shared" si="0"/>
        <v>4.78</v>
      </c>
      <c r="J9" s="3">
        <f>IF(OR(G9=0,VALUE(LEFT(B9,1))&gt;2),0,I9+VLOOKUP(VALUE(LEFT(B9,1)),'Tham chiếu &amp; thống kê'!$E$3:$F$5,2,FALSE))</f>
        <v>5.78</v>
      </c>
      <c r="K9" s="3" t="str">
        <f>VLOOKUP(J9,'Tham chiếu &amp; thống kê'!$A$3:$B$10,2,TRUE)</f>
        <v>C</v>
      </c>
    </row>
    <row r="10" spans="1:11" x14ac:dyDescent="0.3">
      <c r="A10" s="3">
        <v>4</v>
      </c>
      <c r="B10" s="3" t="s">
        <v>14</v>
      </c>
      <c r="C10" s="3" t="str">
        <f>VLOOKUP(B10,'Tham chiếu &amp; thống kê'!B17:C30,2,FALSE)</f>
        <v>Đặng Duy Linh</v>
      </c>
      <c r="D10" s="3">
        <f>VLOOKUP(B10,'Điểm thực hành các buổi'!$B$3:$F$16,3,FALSE)</f>
        <v>0.4</v>
      </c>
      <c r="E10" s="3">
        <f>VLOOKUP(B10,'Điểm thực hành các buổi'!$B$3:$F$16,4,FALSE)</f>
        <v>0.25</v>
      </c>
      <c r="F10" s="3">
        <f>VLOOKUP(B10,'Điểm thực hành các buổi'!$B$3:$F$16,5,FALSE)</f>
        <v>0.35</v>
      </c>
      <c r="G10" s="3">
        <f>VLOOKUP(B10,'Điểm bài tập lớn'!$B$3:$D$16,3,FALSE)</f>
        <v>1</v>
      </c>
      <c r="H10" s="3">
        <f>VLOOKUP(B10,'Điểm lý thuyết'!$B$3:$D$16,3,FALSE)</f>
        <v>4.5</v>
      </c>
      <c r="I10" s="3">
        <f t="shared" si="0"/>
        <v>4.6999999999999993</v>
      </c>
      <c r="J10" s="3">
        <f>IF(OR(G10=0,VALUE(LEFT(B10,1))&gt;2),0,I10+VLOOKUP(VALUE(LEFT(B10,1)),'Tham chiếu &amp; thống kê'!$E$3:$F$5,2,FALSE))</f>
        <v>5.6999999999999993</v>
      </c>
      <c r="K10" s="3" t="str">
        <f>VLOOKUP(J10,'Tham chiếu &amp; thống kê'!$A$3:$B$10,2,TRUE)</f>
        <v>C</v>
      </c>
    </row>
    <row r="11" spans="1:11" x14ac:dyDescent="0.3">
      <c r="A11" s="3">
        <v>5</v>
      </c>
      <c r="B11" s="3" t="s">
        <v>15</v>
      </c>
      <c r="C11" s="3" t="str">
        <f>VLOOKUP(B11,'Tham chiếu &amp; thống kê'!B18:C31,2,FALSE)</f>
        <v>Lê Thị Trúc Linh</v>
      </c>
      <c r="D11" s="3">
        <f>VLOOKUP(B11,'Điểm thực hành các buổi'!$B$3:$F$16,3,FALSE)</f>
        <v>0.45</v>
      </c>
      <c r="E11" s="3">
        <f>VLOOKUP(B11,'Điểm thực hành các buổi'!$B$3:$F$16,4,FALSE)</f>
        <v>0.4</v>
      </c>
      <c r="F11" s="3">
        <f>VLOOKUP(B11,'Điểm thực hành các buổi'!$B$3:$F$16,5,FALSE)</f>
        <v>0.35</v>
      </c>
      <c r="G11" s="3">
        <f>VLOOKUP(B11,'Điểm bài tập lớn'!$B$3:$D$16,3,FALSE)</f>
        <v>0.75</v>
      </c>
      <c r="H11" s="3">
        <f>VLOOKUP(B11,'Điểm lý thuyết'!$B$3:$D$16,3,FALSE)</f>
        <v>5.5</v>
      </c>
      <c r="I11" s="3">
        <f t="shared" si="0"/>
        <v>5.25</v>
      </c>
      <c r="J11" s="3">
        <f>IF(OR(G11=0,VALUE(LEFT(B11,1))&gt;2),0,I11+VLOOKUP(VALUE(LEFT(B11,1)),'Tham chiếu &amp; thống kê'!$E$3:$F$5,2,FALSE))</f>
        <v>5.5</v>
      </c>
      <c r="K11" s="3" t="str">
        <f>VLOOKUP(J11,'Tham chiếu &amp; thống kê'!$A$3:$B$10,2,TRUE)</f>
        <v>C</v>
      </c>
    </row>
    <row r="12" spans="1:11" x14ac:dyDescent="0.3">
      <c r="A12" s="3">
        <v>6</v>
      </c>
      <c r="B12" s="3" t="s">
        <v>16</v>
      </c>
      <c r="C12" s="3" t="str">
        <f>VLOOKUP(B12,'Tham chiếu &amp; thống kê'!B19:C32,2,FALSE)</f>
        <v xml:space="preserve">Phạm Thị Huỳnh </v>
      </c>
      <c r="D12" s="3">
        <f>VLOOKUP(B12,'Điểm thực hành các buổi'!$B$3:$F$16,3,FALSE)</f>
        <v>0.4</v>
      </c>
      <c r="E12" s="3">
        <f>VLOOKUP(B12,'Điểm thực hành các buổi'!$B$3:$F$16,4,FALSE)</f>
        <v>0.45</v>
      </c>
      <c r="F12" s="3">
        <f>VLOOKUP(B12,'Điểm thực hành các buổi'!$B$3:$F$16,5,FALSE)</f>
        <v>0.5</v>
      </c>
      <c r="G12" s="3">
        <f>VLOOKUP(B12,'Điểm bài tập lớn'!$B$3:$D$16,3,FALSE)</f>
        <v>1.2</v>
      </c>
      <c r="H12" s="3">
        <f>VLOOKUP(B12,'Điểm lý thuyết'!$B$3:$D$16,3,FALSE)</f>
        <v>7.5</v>
      </c>
      <c r="I12" s="3">
        <f t="shared" si="0"/>
        <v>7.05</v>
      </c>
      <c r="J12" s="3">
        <f>IF(OR(G12=0,VALUE(LEFT(B12,1))&gt;2),0,I12+VLOOKUP(VALUE(LEFT(B12,1)),'Tham chiếu &amp; thống kê'!$E$3:$F$5,2,FALSE))</f>
        <v>8.0500000000000007</v>
      </c>
      <c r="K12" s="3" t="str">
        <f>VLOOKUP(J12,'Tham chiếu &amp; thống kê'!$A$3:$B$10,2,TRUE)</f>
        <v>B+</v>
      </c>
    </row>
    <row r="13" spans="1:11" x14ac:dyDescent="0.3">
      <c r="A13" s="3">
        <v>7</v>
      </c>
      <c r="B13" s="3" t="s">
        <v>17</v>
      </c>
      <c r="C13" s="3" t="str">
        <f>VLOOKUP(B13,'Tham chiếu &amp; thống kê'!B20:C33,2,FALSE)</f>
        <v>Lê Minh Thông</v>
      </c>
      <c r="D13" s="3">
        <f>VLOOKUP(B13,'Điểm thực hành các buổi'!$B$3:$F$16,3,FALSE)</f>
        <v>0.4</v>
      </c>
      <c r="E13" s="3">
        <f>VLOOKUP(B13,'Điểm thực hành các buổi'!$B$3:$F$16,4,FALSE)</f>
        <v>0.4</v>
      </c>
      <c r="F13" s="3">
        <f>VLOOKUP(B13,'Điểm thực hành các buổi'!$B$3:$F$16,5,FALSE)</f>
        <v>0.4</v>
      </c>
      <c r="G13" s="3">
        <f>VLOOKUP(B13,'Điểm bài tập lớn'!$B$3:$D$16,3,FALSE)</f>
        <v>1</v>
      </c>
      <c r="H13" s="3">
        <f>VLOOKUP(B13,'Điểm lý thuyết'!$B$3:$D$16,3,FALSE)</f>
        <v>5.3</v>
      </c>
      <c r="I13" s="3">
        <f t="shared" si="0"/>
        <v>5.38</v>
      </c>
      <c r="J13" s="3">
        <f>IF(OR(G13=0,VALUE(LEFT(B13,1))&gt;2),0,I13+VLOOKUP(VALUE(LEFT(B13,1)),'Tham chiếu &amp; thống kê'!$E$3:$F$5,2,FALSE))</f>
        <v>6.38</v>
      </c>
      <c r="K13" s="3" t="str">
        <f>VLOOKUP(J13,'Tham chiếu &amp; thống kê'!$A$3:$B$10,2,TRUE)</f>
        <v>C</v>
      </c>
    </row>
    <row r="14" spans="1:11" x14ac:dyDescent="0.3">
      <c r="A14" s="3">
        <v>8</v>
      </c>
      <c r="B14" s="3" t="s">
        <v>18</v>
      </c>
      <c r="C14" s="3" t="str">
        <f>VLOOKUP(B14,'Tham chiếu &amp; thống kê'!B21:C34,2,FALSE)</f>
        <v>Huỳnh Thị Diễm</v>
      </c>
      <c r="D14" s="3">
        <f>VLOOKUP(B14,'Điểm thực hành các buổi'!$B$3:$F$16,3,FALSE)</f>
        <v>0.45</v>
      </c>
      <c r="E14" s="3">
        <f>VLOOKUP(B14,'Điểm thực hành các buổi'!$B$3:$F$16,4,FALSE)</f>
        <v>0.4</v>
      </c>
      <c r="F14" s="3">
        <f>VLOOKUP(B14,'Điểm thực hành các buổi'!$B$3:$F$16,5,FALSE)</f>
        <v>0.45</v>
      </c>
      <c r="G14" s="3">
        <f>VLOOKUP(B14,'Điểm bài tập lớn'!$B$3:$D$16,3,FALSE)</f>
        <v>0</v>
      </c>
      <c r="H14" s="3">
        <f>VLOOKUP(B14,'Điểm lý thuyết'!$B$3:$D$16,3,FALSE)</f>
        <v>6.8</v>
      </c>
      <c r="I14" s="3">
        <f t="shared" si="0"/>
        <v>5.38</v>
      </c>
      <c r="J14" s="3">
        <f>IF(OR(G14=0,VALUE(LEFT(B14,1))&gt;2),0,I14+VLOOKUP(VALUE(LEFT(B14,1)),'Tham chiếu &amp; thống kê'!$E$3:$F$5,2,FALSE))</f>
        <v>0</v>
      </c>
      <c r="K14" s="3" t="str">
        <f>VLOOKUP(J14,'Tham chiếu &amp; thống kê'!$A$3:$B$10,2,TRUE)</f>
        <v>F</v>
      </c>
    </row>
    <row r="15" spans="1:11" x14ac:dyDescent="0.3">
      <c r="A15" s="3">
        <v>9</v>
      </c>
      <c r="B15" s="3" t="s">
        <v>19</v>
      </c>
      <c r="C15" s="3" t="str">
        <f>VLOOKUP(B15,'Tham chiếu &amp; thống kê'!B22:C35,2,FALSE)</f>
        <v>Trần Thanh Nguyên</v>
      </c>
      <c r="D15" s="3">
        <f>VLOOKUP(B15,'Điểm thực hành các buổi'!$B$3:$F$16,3,FALSE)</f>
        <v>0.45</v>
      </c>
      <c r="E15" s="3">
        <f>VLOOKUP(B15,'Điểm thực hành các buổi'!$B$3:$F$16,4,FALSE)</f>
        <v>0.4</v>
      </c>
      <c r="F15" s="3">
        <f>VLOOKUP(B15,'Điểm thực hành các buổi'!$B$3:$F$16,5,FALSE)</f>
        <v>0.4</v>
      </c>
      <c r="G15" s="3">
        <f>VLOOKUP(B15,'Điểm bài tập lớn'!$B$3:$D$16,3,FALSE)</f>
        <v>0.75</v>
      </c>
      <c r="H15" s="3">
        <f>VLOOKUP(B15,'Điểm lý thuyết'!$B$3:$D$16,3,FALSE)</f>
        <v>6.3</v>
      </c>
      <c r="I15" s="3">
        <f t="shared" si="0"/>
        <v>5.7799999999999994</v>
      </c>
      <c r="J15" s="3">
        <f>IF(OR(G15=0,VALUE(LEFT(B15,1))&gt;2),0,I15+VLOOKUP(VALUE(LEFT(B15,1)),'Tham chiếu &amp; thống kê'!$E$3:$F$5,2,FALSE))</f>
        <v>6.7799999999999994</v>
      </c>
      <c r="K15" s="3" t="str">
        <f>VLOOKUP(J15,'Tham chiếu &amp; thống kê'!$A$3:$B$10,2,TRUE)</f>
        <v>C+</v>
      </c>
    </row>
    <row r="16" spans="1:11" x14ac:dyDescent="0.3">
      <c r="A16" s="3">
        <v>10</v>
      </c>
      <c r="B16" s="3" t="s">
        <v>20</v>
      </c>
      <c r="C16" s="3" t="str">
        <f>VLOOKUP(B16,'Tham chiếu &amp; thống kê'!B23:C36,2,FALSE)</f>
        <v>Nguyễn Thị Đào</v>
      </c>
      <c r="D16" s="3">
        <f>VLOOKUP(B16,'Điểm thực hành các buổi'!$B$3:$F$16,3,FALSE)</f>
        <v>0.3</v>
      </c>
      <c r="E16" s="3">
        <f>VLOOKUP(B16,'Điểm thực hành các buổi'!$B$3:$F$16,4,FALSE)</f>
        <v>0.5</v>
      </c>
      <c r="F16" s="3">
        <f>VLOOKUP(B16,'Điểm thực hành các buổi'!$B$3:$F$16,5,FALSE)</f>
        <v>0.45</v>
      </c>
      <c r="G16" s="3">
        <f>VLOOKUP(B16,'Điểm bài tập lớn'!$B$3:$D$16,3,FALSE)</f>
        <v>0.3</v>
      </c>
      <c r="H16" s="3">
        <f>VLOOKUP(B16,'Điểm lý thuyết'!$B$3:$D$16,3,FALSE)</f>
        <v>8.3000000000000007</v>
      </c>
      <c r="I16" s="3">
        <f t="shared" si="0"/>
        <v>6.53</v>
      </c>
      <c r="J16" s="3">
        <f>IF(OR(G16=0,VALUE(LEFT(B16,1))&gt;2),0,I16+VLOOKUP(VALUE(LEFT(B16,1)),'Tham chiếu &amp; thống kê'!$E$3:$F$5,2,FALSE))</f>
        <v>7.03</v>
      </c>
      <c r="K16" s="3" t="str">
        <f>VLOOKUP(J16,'Tham chiếu &amp; thống kê'!$A$3:$B$10,2,TRUE)</f>
        <v>B</v>
      </c>
    </row>
    <row r="17" spans="1:11" x14ac:dyDescent="0.3">
      <c r="A17" s="3">
        <v>11</v>
      </c>
      <c r="B17" s="3" t="s">
        <v>21</v>
      </c>
      <c r="C17" s="3" t="str">
        <f>VLOOKUP(B17,'Tham chiếu &amp; thống kê'!B24:C37,2,FALSE)</f>
        <v>Nguyễn Chí Thanh</v>
      </c>
      <c r="D17" s="3">
        <f>VLOOKUP(B17,'Điểm thực hành các buổi'!$B$3:$F$16,3,FALSE)</f>
        <v>0.4</v>
      </c>
      <c r="E17" s="3">
        <f>VLOOKUP(B17,'Điểm thực hành các buổi'!$B$3:$F$16,4,FALSE)</f>
        <v>0.45</v>
      </c>
      <c r="F17" s="3">
        <f>VLOOKUP(B17,'Điểm thực hành các buổi'!$B$3:$F$16,5,FALSE)</f>
        <v>0.4</v>
      </c>
      <c r="G17" s="3">
        <f>VLOOKUP(B17,'Điểm bài tập lớn'!$B$3:$D$16,3,FALSE)</f>
        <v>0.3</v>
      </c>
      <c r="H17" s="3">
        <f>VLOOKUP(B17,'Điểm lý thuyết'!$B$3:$D$16,3,FALSE)</f>
        <v>-3</v>
      </c>
      <c r="I17" s="3">
        <f t="shared" si="0"/>
        <v>0</v>
      </c>
      <c r="J17" s="3">
        <f>IF(OR(G17=0,VALUE(LEFT(B17,1))&gt;2),0,I17+VLOOKUP(VALUE(LEFT(B17,1)),'Tham chiếu &amp; thống kê'!$E$3:$F$5,2,FALSE))</f>
        <v>0</v>
      </c>
      <c r="K17" s="3" t="str">
        <f>VLOOKUP(J17,'Tham chiếu &amp; thống kê'!$A$3:$B$10,2,TRUE)</f>
        <v>F</v>
      </c>
    </row>
    <row r="18" spans="1:11" x14ac:dyDescent="0.3">
      <c r="A18" s="3">
        <v>12</v>
      </c>
      <c r="B18" s="3" t="s">
        <v>22</v>
      </c>
      <c r="C18" s="3" t="str">
        <f>VLOOKUP(B18,'Tham chiếu &amp; thống kê'!B25:C38,2,FALSE)</f>
        <v>Nguyễn Hải Anh</v>
      </c>
      <c r="D18" s="3">
        <f>VLOOKUP(B18,'Điểm thực hành các buổi'!$B$3:$F$16,3,FALSE)</f>
        <v>0.5</v>
      </c>
      <c r="E18" s="3">
        <f>VLOOKUP(B18,'Điểm thực hành các buổi'!$B$3:$F$16,4,FALSE)</f>
        <v>0.5</v>
      </c>
      <c r="F18" s="3">
        <f>VLOOKUP(B18,'Điểm thực hành các buổi'!$B$3:$F$16,5,FALSE)</f>
        <v>0.45</v>
      </c>
      <c r="G18" s="3">
        <f>VLOOKUP(B18,'Điểm bài tập lớn'!$B$3:$D$16,3,FALSE)</f>
        <v>1.5</v>
      </c>
      <c r="H18" s="3">
        <f>VLOOKUP(B18,'Điểm lý thuyết'!$B$3:$D$16,3,FALSE)</f>
        <v>7</v>
      </c>
      <c r="I18" s="3">
        <f t="shared" si="0"/>
        <v>7.15</v>
      </c>
      <c r="J18" s="3">
        <f>IF(OR(G18=0,VALUE(LEFT(B18,1))&gt;2),0,I18+VLOOKUP(VALUE(LEFT(B18,1)),'Tham chiếu &amp; thống kê'!$E$3:$F$5,2,FALSE))</f>
        <v>7.4</v>
      </c>
      <c r="K18" s="3" t="str">
        <f>VLOOKUP(J18,'Tham chiếu &amp; thống kê'!$A$3:$B$10,2,TRUE)</f>
        <v>B</v>
      </c>
    </row>
    <row r="19" spans="1:11" x14ac:dyDescent="0.3">
      <c r="A19" s="3">
        <v>13</v>
      </c>
      <c r="B19" s="3" t="s">
        <v>23</v>
      </c>
      <c r="C19" s="3" t="str">
        <f>VLOOKUP(B19,'Tham chiếu &amp; thống kê'!B26:C39,2,FALSE)</f>
        <v>Trần Nam Dương</v>
      </c>
      <c r="D19" s="3">
        <f>VLOOKUP(B19,'Điểm thực hành các buổi'!$B$3:$F$16,3,FALSE)</f>
        <v>0.4</v>
      </c>
      <c r="E19" s="3">
        <f>VLOOKUP(B19,'Điểm thực hành các buổi'!$B$3:$F$16,4,FALSE)</f>
        <v>0.4</v>
      </c>
      <c r="F19" s="3">
        <f>VLOOKUP(B19,'Điểm thực hành các buổi'!$B$3:$F$16,5,FALSE)</f>
        <v>0.35</v>
      </c>
      <c r="G19" s="3">
        <f>VLOOKUP(B19,'Điểm bài tập lớn'!$B$3:$D$16,3,FALSE)</f>
        <v>1.35</v>
      </c>
      <c r="H19" s="3">
        <f>VLOOKUP(B19,'Điểm lý thuyết'!$B$3:$D$16,3,FALSE)</f>
        <v>-3</v>
      </c>
      <c r="I19" s="3">
        <f t="shared" si="0"/>
        <v>0</v>
      </c>
      <c r="J19" s="3">
        <f>IF(OR(G19=0,VALUE(LEFT(B19,1))&gt;2),0,I19+VLOOKUP(VALUE(LEFT(B19,1)),'Tham chiếu &amp; thống kê'!$E$3:$F$5,2,FALSE))</f>
        <v>0</v>
      </c>
      <c r="K19" s="3" t="str">
        <f>VLOOKUP(J19,'Tham chiếu &amp; thống kê'!$A$3:$B$10,2,TRUE)</f>
        <v>F</v>
      </c>
    </row>
    <row r="20" spans="1:11" x14ac:dyDescent="0.3">
      <c r="A20" s="3">
        <v>14</v>
      </c>
      <c r="B20" s="3" t="s">
        <v>74</v>
      </c>
      <c r="C20" s="3" t="str">
        <f>VLOOKUP(B20,'Tham chiếu &amp; thống kê'!B27:C40,2,FALSE)</f>
        <v>Nguyễn Duy Khanh</v>
      </c>
      <c r="D20" s="3">
        <f>VLOOKUP(B20,'Điểm thực hành các buổi'!$B$3:$F$16,3,FALSE)</f>
        <v>0.35</v>
      </c>
      <c r="E20" s="3">
        <f>VLOOKUP(B20,'Điểm thực hành các buổi'!$B$3:$F$16,4,FALSE)</f>
        <v>0.4</v>
      </c>
      <c r="F20" s="3">
        <f>VLOOKUP(B20,'Điểm thực hành các buổi'!$B$3:$F$16,5,FALSE)</f>
        <v>0</v>
      </c>
      <c r="G20" s="3">
        <f>VLOOKUP(B20,'Điểm bài tập lớn'!$B$3:$D$16,3,FALSE)</f>
        <v>0.85</v>
      </c>
      <c r="H20" s="3">
        <f>VLOOKUP(B20,'Điểm lý thuyết'!$B$3:$D$16,3,FALSE)</f>
        <v>6.5</v>
      </c>
      <c r="I20" s="3">
        <f t="shared" si="0"/>
        <v>5.5</v>
      </c>
      <c r="J20" s="3">
        <f>IF(OR(G20=0,VALUE(LEFT(B20,1))&gt;2),0,I20+VLOOKUP(VALUE(LEFT(B20,1)),'Tham chiếu &amp; thống kê'!$E$3:$F$5,2,FALSE))</f>
        <v>6.5</v>
      </c>
      <c r="K20" s="3" t="str">
        <f>VLOOKUP(J20,'Tham chiếu &amp; thống kê'!$A$3:$B$10,2,TRUE)</f>
        <v>C+</v>
      </c>
    </row>
  </sheetData>
  <mergeCells count="7">
    <mergeCell ref="B1:G1"/>
    <mergeCell ref="D2:E2"/>
    <mergeCell ref="D4:E4"/>
    <mergeCell ref="D3:E3"/>
    <mergeCell ref="F2:I2"/>
    <mergeCell ref="F3:G3"/>
    <mergeCell ref="F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91F7-FCA2-49C0-99B0-CB18CCA555F0}">
  <sheetPr codeName="Sheet3"/>
  <dimension ref="A1:F16"/>
  <sheetViews>
    <sheetView workbookViewId="0">
      <selection activeCell="G9" sqref="G9"/>
    </sheetView>
  </sheetViews>
  <sheetFormatPr defaultRowHeight="16.8" x14ac:dyDescent="0.3"/>
  <cols>
    <col min="1" max="1" width="5.44140625" style="1" bestFit="1" customWidth="1"/>
    <col min="2" max="2" width="12.33203125" style="1" bestFit="1" customWidth="1"/>
    <col min="3" max="3" width="20.6640625" style="1" bestFit="1" customWidth="1"/>
    <col min="4" max="6" width="12.109375" style="1" bestFit="1" customWidth="1"/>
    <col min="7" max="16384" width="8.88671875" style="1"/>
  </cols>
  <sheetData>
    <row r="1" spans="1:6" ht="28.2" customHeight="1" x14ac:dyDescent="0.3">
      <c r="A1" s="22" t="s">
        <v>33</v>
      </c>
      <c r="B1" s="22"/>
      <c r="C1" s="22"/>
      <c r="D1" s="22"/>
      <c r="E1" s="22"/>
      <c r="F1" s="22"/>
    </row>
    <row r="2" spans="1:6" x14ac:dyDescent="0.3">
      <c r="A2" s="23" t="s">
        <v>0</v>
      </c>
      <c r="B2" s="23" t="s">
        <v>2</v>
      </c>
      <c r="C2" s="23" t="s">
        <v>34</v>
      </c>
      <c r="D2" s="23" t="s">
        <v>4</v>
      </c>
      <c r="E2" s="23" t="s">
        <v>5</v>
      </c>
      <c r="F2" s="23" t="s">
        <v>6</v>
      </c>
    </row>
    <row r="3" spans="1:6" x14ac:dyDescent="0.3">
      <c r="A3" s="3">
        <v>1</v>
      </c>
      <c r="B3" s="3" t="s">
        <v>11</v>
      </c>
      <c r="C3" s="3" t="s">
        <v>35</v>
      </c>
      <c r="D3" s="3">
        <v>0.45</v>
      </c>
      <c r="E3" s="3">
        <v>0.25</v>
      </c>
      <c r="F3" s="3">
        <v>0.3</v>
      </c>
    </row>
    <row r="4" spans="1:6" x14ac:dyDescent="0.3">
      <c r="A4" s="3">
        <v>2</v>
      </c>
      <c r="B4" s="3" t="s">
        <v>12</v>
      </c>
      <c r="C4" s="3" t="s">
        <v>36</v>
      </c>
      <c r="D4" s="3">
        <v>0.5</v>
      </c>
      <c r="E4" s="3">
        <v>0.35</v>
      </c>
      <c r="F4" s="3">
        <v>0.4</v>
      </c>
    </row>
    <row r="5" spans="1:6" x14ac:dyDescent="0.3">
      <c r="A5" s="3">
        <v>3</v>
      </c>
      <c r="B5" s="3" t="s">
        <v>13</v>
      </c>
      <c r="C5" s="3" t="s">
        <v>37</v>
      </c>
      <c r="D5" s="3">
        <v>0.25</v>
      </c>
      <c r="E5" s="3">
        <v>0.25</v>
      </c>
      <c r="F5" s="3">
        <v>0.3</v>
      </c>
    </row>
    <row r="6" spans="1:6" x14ac:dyDescent="0.3">
      <c r="A6" s="3">
        <v>4</v>
      </c>
      <c r="B6" s="3" t="s">
        <v>14</v>
      </c>
      <c r="C6" s="3" t="s">
        <v>38</v>
      </c>
      <c r="D6" s="3">
        <v>0.4</v>
      </c>
      <c r="E6" s="3">
        <v>0.25</v>
      </c>
      <c r="F6" s="3">
        <v>0.35</v>
      </c>
    </row>
    <row r="7" spans="1:6" x14ac:dyDescent="0.3">
      <c r="A7" s="3">
        <v>5</v>
      </c>
      <c r="B7" s="3" t="s">
        <v>15</v>
      </c>
      <c r="C7" s="3" t="s">
        <v>48</v>
      </c>
      <c r="D7" s="3">
        <v>0.45</v>
      </c>
      <c r="E7" s="3">
        <v>0.4</v>
      </c>
      <c r="F7" s="3">
        <v>0.35</v>
      </c>
    </row>
    <row r="8" spans="1:6" x14ac:dyDescent="0.3">
      <c r="A8" s="3">
        <v>6</v>
      </c>
      <c r="B8" s="3" t="s">
        <v>16</v>
      </c>
      <c r="C8" s="3" t="s">
        <v>39</v>
      </c>
      <c r="D8" s="3">
        <v>0.4</v>
      </c>
      <c r="E8" s="3">
        <v>0.45</v>
      </c>
      <c r="F8" s="3">
        <v>0.5</v>
      </c>
    </row>
    <row r="9" spans="1:6" x14ac:dyDescent="0.3">
      <c r="A9" s="3">
        <v>7</v>
      </c>
      <c r="B9" s="3" t="s">
        <v>17</v>
      </c>
      <c r="C9" s="3" t="s">
        <v>40</v>
      </c>
      <c r="D9" s="3">
        <v>0.4</v>
      </c>
      <c r="E9" s="3">
        <v>0.4</v>
      </c>
      <c r="F9" s="3">
        <v>0.4</v>
      </c>
    </row>
    <row r="10" spans="1:6" x14ac:dyDescent="0.3">
      <c r="A10" s="3">
        <v>8</v>
      </c>
      <c r="B10" s="3" t="s">
        <v>18</v>
      </c>
      <c r="C10" s="3" t="s">
        <v>41</v>
      </c>
      <c r="D10" s="3">
        <v>0.45</v>
      </c>
      <c r="E10" s="3">
        <v>0.4</v>
      </c>
      <c r="F10" s="3">
        <v>0.45</v>
      </c>
    </row>
    <row r="11" spans="1:6" x14ac:dyDescent="0.3">
      <c r="A11" s="3">
        <v>9</v>
      </c>
      <c r="B11" s="3" t="s">
        <v>19</v>
      </c>
      <c r="C11" s="3" t="s">
        <v>42</v>
      </c>
      <c r="D11" s="3">
        <v>0.45</v>
      </c>
      <c r="E11" s="3">
        <v>0.4</v>
      </c>
      <c r="F11" s="3">
        <v>0.4</v>
      </c>
    </row>
    <row r="12" spans="1:6" x14ac:dyDescent="0.3">
      <c r="A12" s="3">
        <v>10</v>
      </c>
      <c r="B12" s="3" t="s">
        <v>20</v>
      </c>
      <c r="C12" s="3" t="s">
        <v>43</v>
      </c>
      <c r="D12" s="3">
        <v>0.3</v>
      </c>
      <c r="E12" s="3">
        <v>0.5</v>
      </c>
      <c r="F12" s="3">
        <v>0.45</v>
      </c>
    </row>
    <row r="13" spans="1:6" x14ac:dyDescent="0.3">
      <c r="A13" s="3">
        <v>11</v>
      </c>
      <c r="B13" s="3" t="s">
        <v>21</v>
      </c>
      <c r="C13" s="3" t="s">
        <v>44</v>
      </c>
      <c r="D13" s="3">
        <v>0.4</v>
      </c>
      <c r="E13" s="3">
        <v>0.45</v>
      </c>
      <c r="F13" s="3">
        <v>0.4</v>
      </c>
    </row>
    <row r="14" spans="1:6" x14ac:dyDescent="0.3">
      <c r="A14" s="3">
        <v>12</v>
      </c>
      <c r="B14" s="3" t="s">
        <v>22</v>
      </c>
      <c r="C14" s="3" t="s">
        <v>45</v>
      </c>
      <c r="D14" s="3">
        <v>0.5</v>
      </c>
      <c r="E14" s="3">
        <v>0.5</v>
      </c>
      <c r="F14" s="3">
        <v>0.45</v>
      </c>
    </row>
    <row r="15" spans="1:6" x14ac:dyDescent="0.3">
      <c r="A15" s="3">
        <v>13</v>
      </c>
      <c r="B15" s="3" t="s">
        <v>23</v>
      </c>
      <c r="C15" s="3" t="s">
        <v>46</v>
      </c>
      <c r="D15" s="3">
        <v>0.4</v>
      </c>
      <c r="E15" s="3">
        <v>0.4</v>
      </c>
      <c r="F15" s="3">
        <v>0.35</v>
      </c>
    </row>
    <row r="16" spans="1:6" x14ac:dyDescent="0.3">
      <c r="A16" s="3">
        <v>14</v>
      </c>
      <c r="B16" s="3" t="s">
        <v>74</v>
      </c>
      <c r="C16" s="3" t="s">
        <v>47</v>
      </c>
      <c r="D16" s="3">
        <v>0.35</v>
      </c>
      <c r="E16" s="3">
        <v>0.4</v>
      </c>
      <c r="F16" s="3">
        <v>0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0579-BF4F-404C-B8F5-8526790DAFD1}">
  <sheetPr codeName="Sheet4"/>
  <dimension ref="A1:F16"/>
  <sheetViews>
    <sheetView workbookViewId="0">
      <selection activeCell="B16" sqref="B16"/>
    </sheetView>
  </sheetViews>
  <sheetFormatPr defaultRowHeight="14.4" x14ac:dyDescent="0.3"/>
  <cols>
    <col min="2" max="2" width="15.77734375" customWidth="1"/>
    <col min="3" max="3" width="21" customWidth="1"/>
    <col min="4" max="4" width="12.6640625" customWidth="1"/>
  </cols>
  <sheetData>
    <row r="1" spans="1:6" x14ac:dyDescent="0.3">
      <c r="A1" s="17" t="s">
        <v>33</v>
      </c>
      <c r="B1" s="18"/>
      <c r="C1" s="18"/>
      <c r="D1" s="19"/>
      <c r="E1" s="12"/>
      <c r="F1" s="12"/>
    </row>
    <row r="2" spans="1:6" x14ac:dyDescent="0.3">
      <c r="A2" s="11" t="s">
        <v>0</v>
      </c>
      <c r="B2" s="11" t="s">
        <v>2</v>
      </c>
      <c r="C2" s="11" t="s">
        <v>34</v>
      </c>
      <c r="D2" s="11" t="s">
        <v>49</v>
      </c>
    </row>
    <row r="3" spans="1:6" ht="16.8" x14ac:dyDescent="0.3">
      <c r="A3" s="10">
        <v>1</v>
      </c>
      <c r="B3" s="3" t="s">
        <v>11</v>
      </c>
      <c r="C3" s="10" t="s">
        <v>35</v>
      </c>
      <c r="D3" s="10">
        <v>0.5</v>
      </c>
    </row>
    <row r="4" spans="1:6" ht="16.8" x14ac:dyDescent="0.3">
      <c r="A4" s="10">
        <v>2</v>
      </c>
      <c r="B4" s="3" t="s">
        <v>12</v>
      </c>
      <c r="C4" s="10" t="s">
        <v>36</v>
      </c>
      <c r="D4" s="10">
        <v>1</v>
      </c>
    </row>
    <row r="5" spans="1:6" ht="16.8" x14ac:dyDescent="0.3">
      <c r="A5" s="10">
        <v>3</v>
      </c>
      <c r="B5" s="3" t="s">
        <v>13</v>
      </c>
      <c r="C5" s="10" t="s">
        <v>37</v>
      </c>
      <c r="D5" s="10">
        <v>0.5</v>
      </c>
    </row>
    <row r="6" spans="1:6" ht="16.8" x14ac:dyDescent="0.3">
      <c r="A6" s="10">
        <v>4</v>
      </c>
      <c r="B6" s="3" t="s">
        <v>14</v>
      </c>
      <c r="C6" s="10" t="s">
        <v>38</v>
      </c>
      <c r="D6" s="10">
        <v>1</v>
      </c>
    </row>
    <row r="7" spans="1:6" ht="16.8" x14ac:dyDescent="0.3">
      <c r="A7" s="10">
        <v>5</v>
      </c>
      <c r="B7" s="3" t="s">
        <v>15</v>
      </c>
      <c r="C7" s="10" t="s">
        <v>48</v>
      </c>
      <c r="D7" s="10">
        <v>0.75</v>
      </c>
    </row>
    <row r="8" spans="1:6" ht="16.8" x14ac:dyDescent="0.3">
      <c r="A8" s="10">
        <v>6</v>
      </c>
      <c r="B8" s="3" t="s">
        <v>16</v>
      </c>
      <c r="C8" s="10" t="s">
        <v>39</v>
      </c>
      <c r="D8" s="10">
        <v>1.2</v>
      </c>
    </row>
    <row r="9" spans="1:6" ht="16.8" x14ac:dyDescent="0.3">
      <c r="A9" s="10">
        <v>7</v>
      </c>
      <c r="B9" s="3" t="s">
        <v>17</v>
      </c>
      <c r="C9" s="10" t="s">
        <v>40</v>
      </c>
      <c r="D9" s="10">
        <v>1</v>
      </c>
    </row>
    <row r="10" spans="1:6" ht="16.8" x14ac:dyDescent="0.3">
      <c r="A10" s="10">
        <v>8</v>
      </c>
      <c r="B10" s="3" t="s">
        <v>18</v>
      </c>
      <c r="C10" s="10" t="s">
        <v>41</v>
      </c>
      <c r="D10" s="10">
        <v>0</v>
      </c>
    </row>
    <row r="11" spans="1:6" ht="16.8" x14ac:dyDescent="0.3">
      <c r="A11" s="10">
        <v>9</v>
      </c>
      <c r="B11" s="3" t="s">
        <v>19</v>
      </c>
      <c r="C11" s="10" t="s">
        <v>42</v>
      </c>
      <c r="D11" s="10">
        <v>0.75</v>
      </c>
    </row>
    <row r="12" spans="1:6" ht="16.8" x14ac:dyDescent="0.3">
      <c r="A12" s="10">
        <v>10</v>
      </c>
      <c r="B12" s="3" t="s">
        <v>20</v>
      </c>
      <c r="C12" s="10" t="s">
        <v>43</v>
      </c>
      <c r="D12" s="10">
        <v>0.3</v>
      </c>
    </row>
    <row r="13" spans="1:6" ht="16.8" x14ac:dyDescent="0.3">
      <c r="A13" s="10">
        <v>11</v>
      </c>
      <c r="B13" s="3" t="s">
        <v>21</v>
      </c>
      <c r="C13" s="10" t="s">
        <v>44</v>
      </c>
      <c r="D13" s="10">
        <v>0.3</v>
      </c>
    </row>
    <row r="14" spans="1:6" ht="16.8" x14ac:dyDescent="0.3">
      <c r="A14" s="10">
        <v>12</v>
      </c>
      <c r="B14" s="3" t="s">
        <v>22</v>
      </c>
      <c r="C14" s="10" t="s">
        <v>45</v>
      </c>
      <c r="D14" s="10">
        <v>1.5</v>
      </c>
    </row>
    <row r="15" spans="1:6" ht="16.8" x14ac:dyDescent="0.3">
      <c r="A15" s="10">
        <v>13</v>
      </c>
      <c r="B15" s="3" t="s">
        <v>23</v>
      </c>
      <c r="C15" s="10" t="s">
        <v>46</v>
      </c>
      <c r="D15" s="10">
        <v>1.35</v>
      </c>
    </row>
    <row r="16" spans="1:6" ht="16.8" x14ac:dyDescent="0.3">
      <c r="A16" s="10">
        <v>14</v>
      </c>
      <c r="B16" s="3" t="s">
        <v>74</v>
      </c>
      <c r="C16" s="10" t="s">
        <v>47</v>
      </c>
      <c r="D16" s="10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3B4D-6D07-4089-8A2F-5A23E803BB5E}">
  <sheetPr codeName="Sheet5"/>
  <dimension ref="A1:D16"/>
  <sheetViews>
    <sheetView workbookViewId="0">
      <selection activeCell="H8" sqref="H8"/>
    </sheetView>
  </sheetViews>
  <sheetFormatPr defaultRowHeight="16.8" x14ac:dyDescent="0.3"/>
  <cols>
    <col min="1" max="1" width="5.44140625" style="1" bestFit="1" customWidth="1"/>
    <col min="2" max="2" width="12.33203125" style="1" bestFit="1" customWidth="1"/>
    <col min="3" max="3" width="20.6640625" style="1" bestFit="1" customWidth="1"/>
    <col min="4" max="4" width="15.6640625" style="1" bestFit="1" customWidth="1"/>
    <col min="5" max="16384" width="8.88671875" style="1"/>
  </cols>
  <sheetData>
    <row r="1" spans="1:4" x14ac:dyDescent="0.3">
      <c r="A1" s="24" t="s">
        <v>50</v>
      </c>
      <c r="B1" s="24"/>
      <c r="C1" s="24"/>
      <c r="D1" s="24"/>
    </row>
    <row r="2" spans="1:4" x14ac:dyDescent="0.3">
      <c r="A2" s="25" t="s">
        <v>0</v>
      </c>
      <c r="B2" s="25" t="s">
        <v>2</v>
      </c>
      <c r="C2" s="25" t="s">
        <v>34</v>
      </c>
      <c r="D2" s="25" t="s">
        <v>50</v>
      </c>
    </row>
    <row r="3" spans="1:4" x14ac:dyDescent="0.3">
      <c r="A3" s="3">
        <v>1</v>
      </c>
      <c r="B3" s="3" t="s">
        <v>11</v>
      </c>
      <c r="C3" s="3" t="s">
        <v>35</v>
      </c>
      <c r="D3" s="3">
        <v>4.2</v>
      </c>
    </row>
    <row r="4" spans="1:4" x14ac:dyDescent="0.3">
      <c r="A4" s="3">
        <v>2</v>
      </c>
      <c r="B4" s="3" t="s">
        <v>12</v>
      </c>
      <c r="C4" s="3" t="s">
        <v>36</v>
      </c>
      <c r="D4" s="3">
        <v>5.8</v>
      </c>
    </row>
    <row r="5" spans="1:4" x14ac:dyDescent="0.3">
      <c r="A5" s="3">
        <v>3</v>
      </c>
      <c r="B5" s="3" t="s">
        <v>13</v>
      </c>
      <c r="C5" s="3" t="s">
        <v>37</v>
      </c>
      <c r="D5" s="3">
        <v>5.8</v>
      </c>
    </row>
    <row r="6" spans="1:4" x14ac:dyDescent="0.3">
      <c r="A6" s="3">
        <v>4</v>
      </c>
      <c r="B6" s="3" t="s">
        <v>14</v>
      </c>
      <c r="C6" s="3" t="s">
        <v>38</v>
      </c>
      <c r="D6" s="3">
        <v>4.5</v>
      </c>
    </row>
    <row r="7" spans="1:4" x14ac:dyDescent="0.3">
      <c r="A7" s="3">
        <v>5</v>
      </c>
      <c r="B7" s="3" t="s">
        <v>15</v>
      </c>
      <c r="C7" s="3" t="s">
        <v>48</v>
      </c>
      <c r="D7" s="3">
        <v>5.5</v>
      </c>
    </row>
    <row r="8" spans="1:4" x14ac:dyDescent="0.3">
      <c r="A8" s="3">
        <v>6</v>
      </c>
      <c r="B8" s="3" t="s">
        <v>16</v>
      </c>
      <c r="C8" s="3" t="s">
        <v>39</v>
      </c>
      <c r="D8" s="3">
        <v>7.5</v>
      </c>
    </row>
    <row r="9" spans="1:4" x14ac:dyDescent="0.3">
      <c r="A9" s="3">
        <v>7</v>
      </c>
      <c r="B9" s="3" t="s">
        <v>17</v>
      </c>
      <c r="C9" s="3" t="s">
        <v>40</v>
      </c>
      <c r="D9" s="3">
        <v>5.3</v>
      </c>
    </row>
    <row r="10" spans="1:4" x14ac:dyDescent="0.3">
      <c r="A10" s="3">
        <v>8</v>
      </c>
      <c r="B10" s="3" t="s">
        <v>18</v>
      </c>
      <c r="C10" s="3" t="s">
        <v>41</v>
      </c>
      <c r="D10" s="3">
        <v>6.8</v>
      </c>
    </row>
    <row r="11" spans="1:4" x14ac:dyDescent="0.3">
      <c r="A11" s="3">
        <v>9</v>
      </c>
      <c r="B11" s="3" t="s">
        <v>19</v>
      </c>
      <c r="C11" s="3" t="s">
        <v>42</v>
      </c>
      <c r="D11" s="3">
        <v>6.3</v>
      </c>
    </row>
    <row r="12" spans="1:4" x14ac:dyDescent="0.3">
      <c r="A12" s="3">
        <v>10</v>
      </c>
      <c r="B12" s="3" t="s">
        <v>20</v>
      </c>
      <c r="C12" s="3" t="s">
        <v>43</v>
      </c>
      <c r="D12" s="3">
        <v>8.3000000000000007</v>
      </c>
    </row>
    <row r="13" spans="1:4" x14ac:dyDescent="0.3">
      <c r="A13" s="3">
        <v>11</v>
      </c>
      <c r="B13" s="3" t="s">
        <v>21</v>
      </c>
      <c r="C13" s="3" t="s">
        <v>44</v>
      </c>
      <c r="D13" s="3">
        <v>-3</v>
      </c>
    </row>
    <row r="14" spans="1:4" x14ac:dyDescent="0.3">
      <c r="A14" s="3">
        <v>12</v>
      </c>
      <c r="B14" s="3" t="s">
        <v>22</v>
      </c>
      <c r="C14" s="3" t="s">
        <v>45</v>
      </c>
      <c r="D14" s="3">
        <v>7</v>
      </c>
    </row>
    <row r="15" spans="1:4" x14ac:dyDescent="0.3">
      <c r="A15" s="3">
        <v>13</v>
      </c>
      <c r="B15" s="3" t="s">
        <v>23</v>
      </c>
      <c r="C15" s="3" t="s">
        <v>46</v>
      </c>
      <c r="D15" s="3">
        <v>-3</v>
      </c>
    </row>
    <row r="16" spans="1:4" x14ac:dyDescent="0.3">
      <c r="A16" s="3">
        <v>14</v>
      </c>
      <c r="B16" s="3" t="s">
        <v>74</v>
      </c>
      <c r="C16" s="3" t="s">
        <v>47</v>
      </c>
      <c r="D16" s="3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5B9D-9F95-443C-A7E0-81F525D3EB62}">
  <sheetPr codeName="Sheet6"/>
  <dimension ref="A1:H28"/>
  <sheetViews>
    <sheetView zoomScale="74" workbookViewId="0">
      <selection activeCell="H27" sqref="H27"/>
    </sheetView>
  </sheetViews>
  <sheetFormatPr defaultColWidth="16.33203125" defaultRowHeight="16.8" x14ac:dyDescent="0.3"/>
  <cols>
    <col min="1" max="16384" width="16.33203125" style="1"/>
  </cols>
  <sheetData>
    <row r="1" spans="1:6" x14ac:dyDescent="0.3">
      <c r="A1" s="26" t="s">
        <v>52</v>
      </c>
      <c r="B1" s="26"/>
      <c r="C1" s="26"/>
      <c r="D1" s="3"/>
      <c r="E1" s="27" t="s">
        <v>61</v>
      </c>
      <c r="F1" s="28"/>
    </row>
    <row r="2" spans="1:6" x14ac:dyDescent="0.3">
      <c r="A2" s="29" t="s">
        <v>9</v>
      </c>
      <c r="B2" s="29" t="s">
        <v>10</v>
      </c>
      <c r="C2" s="29" t="s">
        <v>51</v>
      </c>
      <c r="D2" s="3"/>
      <c r="E2" s="29" t="s">
        <v>62</v>
      </c>
      <c r="F2" s="29" t="s">
        <v>63</v>
      </c>
    </row>
    <row r="3" spans="1:6" x14ac:dyDescent="0.3">
      <c r="A3" s="3">
        <v>0</v>
      </c>
      <c r="B3" s="3" t="s">
        <v>53</v>
      </c>
      <c r="C3" s="3">
        <v>0</v>
      </c>
      <c r="D3" s="3"/>
      <c r="E3" s="3">
        <v>0</v>
      </c>
      <c r="F3" s="3">
        <v>1</v>
      </c>
    </row>
    <row r="4" spans="1:6" x14ac:dyDescent="0.3">
      <c r="A4" s="3">
        <v>4</v>
      </c>
      <c r="B4" s="3" t="s">
        <v>54</v>
      </c>
      <c r="C4" s="3">
        <v>1</v>
      </c>
      <c r="D4" s="3"/>
      <c r="E4" s="3">
        <v>1</v>
      </c>
      <c r="F4" s="3">
        <v>0.5</v>
      </c>
    </row>
    <row r="5" spans="1:6" x14ac:dyDescent="0.3">
      <c r="A5" s="3">
        <v>5</v>
      </c>
      <c r="B5" s="3" t="s">
        <v>55</v>
      </c>
      <c r="C5" s="3">
        <v>1.5</v>
      </c>
      <c r="D5" s="3"/>
      <c r="E5" s="3">
        <v>2</v>
      </c>
      <c r="F5" s="3">
        <v>0.25</v>
      </c>
    </row>
    <row r="6" spans="1:6" x14ac:dyDescent="0.3">
      <c r="A6" s="3">
        <v>5.5</v>
      </c>
      <c r="B6" s="3" t="s">
        <v>56</v>
      </c>
      <c r="C6" s="3">
        <v>2</v>
      </c>
      <c r="D6" s="3"/>
      <c r="E6" s="3"/>
      <c r="F6" s="3"/>
    </row>
    <row r="7" spans="1:6" x14ac:dyDescent="0.3">
      <c r="A7" s="3">
        <v>6.5</v>
      </c>
      <c r="B7" s="3" t="s">
        <v>57</v>
      </c>
      <c r="C7" s="3">
        <v>2.5</v>
      </c>
      <c r="D7" s="3"/>
      <c r="E7" s="3"/>
      <c r="F7" s="3"/>
    </row>
    <row r="8" spans="1:6" x14ac:dyDescent="0.3">
      <c r="A8" s="3">
        <v>7</v>
      </c>
      <c r="B8" s="3" t="s">
        <v>58</v>
      </c>
      <c r="C8" s="3">
        <v>3</v>
      </c>
      <c r="D8" s="3"/>
      <c r="E8" s="3"/>
      <c r="F8" s="3"/>
    </row>
    <row r="9" spans="1:6" x14ac:dyDescent="0.3">
      <c r="A9" s="3">
        <v>8</v>
      </c>
      <c r="B9" s="3" t="s">
        <v>59</v>
      </c>
      <c r="C9" s="3">
        <v>3.5</v>
      </c>
      <c r="D9" s="3"/>
      <c r="E9" s="3"/>
      <c r="F9" s="3"/>
    </row>
    <row r="10" spans="1:6" x14ac:dyDescent="0.3">
      <c r="A10" s="3">
        <v>9</v>
      </c>
      <c r="B10" s="3" t="s">
        <v>60</v>
      </c>
      <c r="C10" s="3">
        <v>4</v>
      </c>
      <c r="D10" s="3"/>
      <c r="E10" s="3"/>
      <c r="F10" s="3"/>
    </row>
    <row r="11" spans="1:6" x14ac:dyDescent="0.3">
      <c r="A11" s="30"/>
      <c r="B11" s="30"/>
      <c r="C11" s="30"/>
    </row>
    <row r="12" spans="1:6" x14ac:dyDescent="0.3">
      <c r="A12" s="26" t="s">
        <v>64</v>
      </c>
      <c r="B12" s="26"/>
      <c r="C12" s="26"/>
      <c r="D12" s="3"/>
      <c r="E12" s="26" t="s">
        <v>67</v>
      </c>
      <c r="F12" s="26"/>
    </row>
    <row r="13" spans="1:6" ht="20.399999999999999" customHeight="1" x14ac:dyDescent="0.3">
      <c r="A13" s="29" t="s">
        <v>0</v>
      </c>
      <c r="B13" s="29" t="s">
        <v>2</v>
      </c>
      <c r="C13" s="29" t="s">
        <v>3</v>
      </c>
      <c r="D13" s="3"/>
      <c r="E13" s="29" t="s">
        <v>10</v>
      </c>
      <c r="F13" s="29" t="s">
        <v>68</v>
      </c>
    </row>
    <row r="14" spans="1:6" x14ac:dyDescent="0.3">
      <c r="A14" s="3">
        <v>1</v>
      </c>
      <c r="B14" s="3" t="s">
        <v>11</v>
      </c>
      <c r="C14" s="3" t="s">
        <v>35</v>
      </c>
      <c r="D14" s="3"/>
      <c r="E14" s="3" t="s">
        <v>60</v>
      </c>
      <c r="F14" s="3">
        <f>COUNTIF('Tổng hợp điểm'!$K$7:$K$20,"A")</f>
        <v>0</v>
      </c>
    </row>
    <row r="15" spans="1:6" x14ac:dyDescent="0.3">
      <c r="A15" s="3">
        <v>2</v>
      </c>
      <c r="B15" s="3" t="s">
        <v>12</v>
      </c>
      <c r="C15" s="3" t="s">
        <v>36</v>
      </c>
      <c r="D15" s="3"/>
      <c r="E15" s="3" t="s">
        <v>59</v>
      </c>
      <c r="F15" s="3">
        <f>COUNTIF('Tổng hợp điểm'!$K$7:$K$20,"B+")</f>
        <v>1</v>
      </c>
    </row>
    <row r="16" spans="1:6" x14ac:dyDescent="0.3">
      <c r="A16" s="3">
        <v>3</v>
      </c>
      <c r="B16" s="3" t="s">
        <v>13</v>
      </c>
      <c r="C16" s="3" t="s">
        <v>37</v>
      </c>
      <c r="D16" s="3"/>
      <c r="E16" s="3" t="s">
        <v>58</v>
      </c>
      <c r="F16" s="3">
        <f>COUNTIF('Tổng hợp điểm'!$K$7:$K$20,"B")</f>
        <v>2</v>
      </c>
    </row>
    <row r="17" spans="1:8" x14ac:dyDescent="0.3">
      <c r="A17" s="3">
        <v>4</v>
      </c>
      <c r="B17" s="3" t="s">
        <v>14</v>
      </c>
      <c r="C17" s="3" t="s">
        <v>38</v>
      </c>
      <c r="D17" s="3"/>
      <c r="E17" s="3" t="s">
        <v>57</v>
      </c>
      <c r="F17" s="3">
        <f>COUNTIF('Tổng hợp điểm'!$K$7:$K$20,"C+")</f>
        <v>2</v>
      </c>
    </row>
    <row r="18" spans="1:8" x14ac:dyDescent="0.3">
      <c r="A18" s="3">
        <v>5</v>
      </c>
      <c r="B18" s="3" t="s">
        <v>15</v>
      </c>
      <c r="C18" s="3" t="s">
        <v>48</v>
      </c>
      <c r="D18" s="3"/>
      <c r="E18" s="3" t="s">
        <v>69</v>
      </c>
      <c r="F18" s="3">
        <f>COUNTIF('Tổng hợp điểm'!$K$7:$K$20,"C")</f>
        <v>5</v>
      </c>
    </row>
    <row r="19" spans="1:8" x14ac:dyDescent="0.3">
      <c r="A19" s="3">
        <v>6</v>
      </c>
      <c r="B19" s="3" t="s">
        <v>16</v>
      </c>
      <c r="C19" s="3" t="s">
        <v>39</v>
      </c>
      <c r="D19" s="3"/>
      <c r="E19" s="3" t="s">
        <v>55</v>
      </c>
      <c r="F19" s="3">
        <f>COUNTIF('Tổng hợp điểm'!$K$7:$K$20,"D+")</f>
        <v>1</v>
      </c>
    </row>
    <row r="20" spans="1:8" x14ac:dyDescent="0.3">
      <c r="A20" s="3">
        <v>7</v>
      </c>
      <c r="B20" s="3" t="s">
        <v>17</v>
      </c>
      <c r="C20" s="3" t="s">
        <v>40</v>
      </c>
      <c r="D20" s="3"/>
      <c r="E20" s="3" t="s">
        <v>70</v>
      </c>
      <c r="F20" s="3">
        <f>COUNTIF('Tổng hợp điểm'!$K$7:$K$20,"D")</f>
        <v>0</v>
      </c>
    </row>
    <row r="21" spans="1:8" x14ac:dyDescent="0.3">
      <c r="A21" s="3">
        <v>8</v>
      </c>
      <c r="B21" s="3" t="s">
        <v>18</v>
      </c>
      <c r="C21" s="3" t="s">
        <v>41</v>
      </c>
      <c r="D21" s="3"/>
      <c r="E21" s="3" t="s">
        <v>53</v>
      </c>
      <c r="F21" s="3">
        <f>COUNTIF('Tổng hợp điểm'!$K$7:$K$20,"F")</f>
        <v>3</v>
      </c>
    </row>
    <row r="22" spans="1:8" x14ac:dyDescent="0.3">
      <c r="A22" s="3">
        <v>9</v>
      </c>
      <c r="B22" s="3" t="s">
        <v>19</v>
      </c>
      <c r="C22" s="3" t="s">
        <v>42</v>
      </c>
      <c r="D22" s="3"/>
      <c r="E22" s="3"/>
      <c r="F22" s="3"/>
    </row>
    <row r="23" spans="1:8" x14ac:dyDescent="0.3">
      <c r="A23" s="3">
        <v>10</v>
      </c>
      <c r="B23" s="3" t="s">
        <v>20</v>
      </c>
      <c r="C23" s="3" t="s">
        <v>43</v>
      </c>
      <c r="D23" s="3"/>
      <c r="E23" s="32" t="s">
        <v>65</v>
      </c>
      <c r="F23" s="33"/>
    </row>
    <row r="24" spans="1:8" x14ac:dyDescent="0.3">
      <c r="A24" s="3">
        <v>11</v>
      </c>
      <c r="B24" s="3" t="s">
        <v>21</v>
      </c>
      <c r="C24" s="3" t="s">
        <v>44</v>
      </c>
      <c r="D24" s="3"/>
      <c r="E24" s="16" t="s">
        <v>66</v>
      </c>
      <c r="F24" s="15">
        <f>SUM(COUNTIF('Tổng hợp điểm'!G7:G20,0),COUNTIF('Tổng hợp điểm'!H7:H20,-3))</f>
        <v>3</v>
      </c>
      <c r="H24" s="1" t="s">
        <v>75</v>
      </c>
    </row>
    <row r="25" spans="1:8" x14ac:dyDescent="0.3">
      <c r="A25" s="3">
        <v>12</v>
      </c>
      <c r="B25" s="3" t="s">
        <v>22</v>
      </c>
      <c r="C25" s="3" t="s">
        <v>45</v>
      </c>
      <c r="D25" s="3"/>
      <c r="E25" s="16"/>
      <c r="F25" s="15"/>
      <c r="H25" s="1" t="b">
        <f>AND('Tổng hợp điểm'!J7&gt;=7,OR('Tổng hợp điểm'!K7="A",'Tổng hợp điểm'!K7="B+"))</f>
        <v>0</v>
      </c>
    </row>
    <row r="26" spans="1:8" x14ac:dyDescent="0.3">
      <c r="A26" s="3">
        <v>13</v>
      </c>
      <c r="B26" s="3" t="s">
        <v>23</v>
      </c>
      <c r="C26" s="3" t="s">
        <v>46</v>
      </c>
      <c r="D26" s="3"/>
      <c r="E26" s="16"/>
      <c r="F26" s="15"/>
    </row>
    <row r="27" spans="1:8" x14ac:dyDescent="0.3">
      <c r="A27" s="3">
        <v>14</v>
      </c>
      <c r="B27" s="3" t="s">
        <v>74</v>
      </c>
      <c r="C27" s="3" t="s">
        <v>47</v>
      </c>
      <c r="D27" s="3"/>
      <c r="E27" s="3" t="s">
        <v>71</v>
      </c>
      <c r="F27" s="13" cm="1">
        <f t="array" ref="F27">SUMPRODUCT(--(VALUE(LEFT('Tổng hợp điểm'!B7:B20, 1)) &gt; 2))</f>
        <v>2</v>
      </c>
    </row>
    <row r="28" spans="1:8" ht="100.8" x14ac:dyDescent="0.3">
      <c r="E28" s="7" t="s">
        <v>73</v>
      </c>
      <c r="F28" s="31">
        <f>DCOUNT('Tổng hợp điểm'!A6:K20,'Tổng hợp điểm'!J6,'Tham chiếu &amp; thống kê'!H24:H25)</f>
        <v>1</v>
      </c>
    </row>
  </sheetData>
  <mergeCells count="8">
    <mergeCell ref="E24:E26"/>
    <mergeCell ref="A1:C1"/>
    <mergeCell ref="E1:F1"/>
    <mergeCell ref="A12:C12"/>
    <mergeCell ref="A11:C11"/>
    <mergeCell ref="E12:F12"/>
    <mergeCell ref="F24:F26"/>
    <mergeCell ref="E23:F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0D86-ECF6-42E0-961D-2F2830071B6D}">
  <sheetPr codeName="Sheet7"/>
  <dimension ref="A1:D3"/>
  <sheetViews>
    <sheetView workbookViewId="0">
      <selection activeCell="D14" sqref="D14"/>
    </sheetView>
  </sheetViews>
  <sheetFormatPr defaultRowHeight="16.8" x14ac:dyDescent="0.3"/>
  <cols>
    <col min="1" max="1" width="5.6640625" style="1" bestFit="1" customWidth="1"/>
    <col min="2" max="2" width="14.6640625" style="1" bestFit="1" customWidth="1"/>
    <col min="3" max="3" width="18.21875" style="1" bestFit="1" customWidth="1"/>
    <col min="4" max="4" width="16.33203125" style="1" bestFit="1" customWidth="1"/>
    <col min="5" max="16384" width="8.88671875" style="1"/>
  </cols>
  <sheetData>
    <row r="1" spans="1:4" x14ac:dyDescent="0.3">
      <c r="A1" s="20" t="s">
        <v>78</v>
      </c>
      <c r="B1" s="20"/>
      <c r="C1" s="20"/>
      <c r="D1" s="20"/>
    </row>
    <row r="2" spans="1:4" x14ac:dyDescent="0.3">
      <c r="A2" s="21" t="s">
        <v>0</v>
      </c>
      <c r="B2" s="21" t="s">
        <v>76</v>
      </c>
      <c r="C2" s="21" t="s">
        <v>34</v>
      </c>
      <c r="D2" s="21" t="s">
        <v>77</v>
      </c>
    </row>
    <row r="3" spans="1:4" x14ac:dyDescent="0.3">
      <c r="A3" s="1">
        <v>1</v>
      </c>
      <c r="B3" s="1" t="str" cm="1">
        <f t="array" ref="B3">_xlfn._xlws.FILTER('Tổng hợp điểm'!B7:B20,('Tổng hợp điểm'!J7:J20&gt;=7)*(('Tổng hợp điểm'!K7:K20="B+")+('Tổng hợp điểm'!K7:K20="A")))</f>
        <v>0B1605235</v>
      </c>
      <c r="C3" s="1" t="str" cm="1">
        <f t="array" ref="C3">_xlfn._xlws.FILTER('Tổng hợp điểm'!C7:C20,('Tổng hợp điểm'!J7:J20&gt;=7) * (('Tổng hợp điểm'!K7:K20="B+") +('Tổng hợp điểm'!K7:K20="A")))</f>
        <v xml:space="preserve">Phạm Thị Huỳnh </v>
      </c>
      <c r="D3" s="1" cm="1">
        <f t="array" ref="D3">_xlfn._xlws.FILTER('Tổng hợp điểm'!J7:J20,('Tổng hợp điểm'!J7:J20&gt;=7)*(('Tổng hợp điểm'!K7:K20="B+")+('Tổng hợp điểm'!K7:K20="A")))</f>
        <v>8.0500000000000007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9C6F-1A27-40EB-A82E-51E597EB2D79}">
  <sheetPr codeName="Sheet2"/>
  <dimension ref="A1:D13"/>
  <sheetViews>
    <sheetView tabSelected="1" workbookViewId="0">
      <selection activeCell="G19" sqref="G19"/>
    </sheetView>
  </sheetViews>
  <sheetFormatPr defaultRowHeight="14.4" x14ac:dyDescent="0.3"/>
  <cols>
    <col min="1" max="1" width="3.88671875" bestFit="1" customWidth="1"/>
    <col min="2" max="2" width="10.6640625" bestFit="1" customWidth="1"/>
    <col min="3" max="3" width="19" customWidth="1"/>
    <col min="4" max="4" width="16.33203125" bestFit="1" customWidth="1"/>
  </cols>
  <sheetData>
    <row r="1" spans="1:4" ht="16.8" x14ac:dyDescent="0.3">
      <c r="A1" s="20" t="s">
        <v>78</v>
      </c>
      <c r="B1" s="20"/>
      <c r="C1" s="20"/>
      <c r="D1" s="20"/>
    </row>
    <row r="2" spans="1:4" ht="16.8" x14ac:dyDescent="0.3">
      <c r="A2" s="21" t="s">
        <v>0</v>
      </c>
      <c r="B2" s="21" t="s">
        <v>76</v>
      </c>
      <c r="C2" s="21" t="s">
        <v>34</v>
      </c>
      <c r="D2" s="21" t="s">
        <v>77</v>
      </c>
    </row>
    <row r="3" spans="1:4" ht="16.8" x14ac:dyDescent="0.3">
      <c r="A3" s="3">
        <v>1</v>
      </c>
      <c r="B3" s="3" t="str" cm="1">
        <f t="array" ref="B3:B13">_xlfn._xlws.FILTER('Tổng hợp điểm'!B7:B20,'Tổng hợp điểm'!J7:J20&lt;7)</f>
        <v>0B1505719</v>
      </c>
      <c r="C3" s="3" t="str" cm="1">
        <f t="array" ref="C3:C13">_xlfn._xlws.FILTER('Tổng hợp điểm'!C7:C20,'Tổng hợp điểm'!J7:J20&lt;7)</f>
        <v>Nguyễn Văn Hiếu</v>
      </c>
      <c r="D3" s="3" cm="1">
        <f t="array" ref="D3:D13">_xlfn._xlws.FILTER('Tổng hợp điểm'!J7:J20,'Tổng hợp điểm'!J7:J20&lt;7)</f>
        <v>5.0199999999999996</v>
      </c>
    </row>
    <row r="4" spans="1:4" ht="16.8" x14ac:dyDescent="0.3">
      <c r="A4" s="3">
        <v>2</v>
      </c>
      <c r="B4" s="3" t="str">
        <v>1B1505915</v>
      </c>
      <c r="C4" s="3" t="str">
        <v>Lý Minh Trí</v>
      </c>
      <c r="D4" s="3">
        <v>6.23</v>
      </c>
    </row>
    <row r="5" spans="1:4" ht="16.8" x14ac:dyDescent="0.3">
      <c r="A5" s="3">
        <v>3</v>
      </c>
      <c r="B5" s="3" t="str">
        <v>0B1509874</v>
      </c>
      <c r="C5" s="3" t="str">
        <v>Nguyễn Kiều Mi</v>
      </c>
      <c r="D5" s="3">
        <v>5.78</v>
      </c>
    </row>
    <row r="6" spans="1:4" ht="16.8" x14ac:dyDescent="0.3">
      <c r="A6" s="3">
        <v>4</v>
      </c>
      <c r="B6" s="3" t="str">
        <v>0B1509929</v>
      </c>
      <c r="C6" s="3" t="str">
        <v>Đặng Duy Linh</v>
      </c>
      <c r="D6" s="3">
        <v>5.6999999999999993</v>
      </c>
    </row>
    <row r="7" spans="1:4" ht="16.8" x14ac:dyDescent="0.3">
      <c r="A7" s="3">
        <v>5</v>
      </c>
      <c r="B7" s="3" t="str">
        <v>2B1605223</v>
      </c>
      <c r="C7" s="3" t="str">
        <v>Lê Thị Trúc Linh</v>
      </c>
      <c r="D7" s="3">
        <v>5.5</v>
      </c>
    </row>
    <row r="8" spans="1:4" ht="16.8" x14ac:dyDescent="0.3">
      <c r="A8" s="3">
        <v>6</v>
      </c>
      <c r="B8" s="3" t="str">
        <v>0B1605249</v>
      </c>
      <c r="C8" s="3" t="str">
        <v>Lê Minh Thông</v>
      </c>
      <c r="D8" s="3">
        <v>6.38</v>
      </c>
    </row>
    <row r="9" spans="1:4" ht="16.8" x14ac:dyDescent="0.3">
      <c r="A9" s="3">
        <v>7</v>
      </c>
      <c r="B9" s="3" t="str">
        <v>0B1605285</v>
      </c>
      <c r="C9" s="3" t="str">
        <v>Huỳnh Thị Diễm</v>
      </c>
      <c r="D9" s="3">
        <v>0</v>
      </c>
    </row>
    <row r="10" spans="1:4" ht="16.8" x14ac:dyDescent="0.3">
      <c r="A10" s="3">
        <v>8</v>
      </c>
      <c r="B10" s="3" t="str">
        <v>0B1605291</v>
      </c>
      <c r="C10" s="3" t="str">
        <v>Trần Thanh Nguyên</v>
      </c>
      <c r="D10" s="3">
        <v>6.7799999999999994</v>
      </c>
    </row>
    <row r="11" spans="1:4" ht="16.8" x14ac:dyDescent="0.3">
      <c r="A11" s="3">
        <v>9</v>
      </c>
      <c r="B11" s="3" t="str">
        <v>4B1607025</v>
      </c>
      <c r="C11" s="3" t="str">
        <v>Nguyễn Chí Thanh</v>
      </c>
      <c r="D11" s="3">
        <v>0</v>
      </c>
    </row>
    <row r="12" spans="1:4" ht="16.8" x14ac:dyDescent="0.3">
      <c r="A12" s="3">
        <v>10</v>
      </c>
      <c r="B12" s="3" t="str">
        <v>5B1609765</v>
      </c>
      <c r="C12" s="3" t="str">
        <v>Trần Nam Dương</v>
      </c>
      <c r="D12" s="3">
        <v>0</v>
      </c>
    </row>
    <row r="13" spans="1:4" ht="16.8" x14ac:dyDescent="0.3">
      <c r="A13" s="3">
        <v>11</v>
      </c>
      <c r="B13" s="3" t="str">
        <v>0B1609773</v>
      </c>
      <c r="C13" s="3" t="str">
        <v>Nguyễn Duy Khanh</v>
      </c>
      <c r="D13" s="3">
        <v>6.5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Tham chiếu &amp; thống kê</vt:lpstr>
      <vt:lpstr>Sinh viên điểm &gt;=7</vt:lpstr>
      <vt:lpstr>Sinh viên điểm &lt;7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duy</cp:lastModifiedBy>
  <dcterms:created xsi:type="dcterms:W3CDTF">2026-09-19T16:17:37Z</dcterms:created>
  <dcterms:modified xsi:type="dcterms:W3CDTF">2026-09-23T04:51:04Z</dcterms:modified>
</cp:coreProperties>
</file>